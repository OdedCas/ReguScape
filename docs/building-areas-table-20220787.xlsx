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טבלת שטחים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<sst xmlns="http://schemas.openxmlformats.org/spreadsheetml/2006/main" count="32" uniqueCount="17">
  <si>
    <t xml:space="preserve">שטח מגרש לזכויות</t>
  </si>
  <si>
    <t xml:space="preserve">מתקנים ומערכת טכנית</t>
  </si>
  <si>
    <t xml:space="preserve">חדרי שירות משותפים</t>
  </si>
  <si>
    <t xml:space="preserve">אחסנה</t>
  </si>
  <si>
    <t xml:space="preserve">חניה</t>
  </si>
  <si>
    <t xml:space="preserve">מבואות וחדרי מדרגות</t>
  </si>
  <si>
    <t xml:space="preserve">סה"כ</t>
  </si>
  <si>
    <t xml:space="preserve">הקומה והמפלס בבניין</t>
  </si>
  <si>
    <t xml:space="preserve">קיים</t>
  </si>
  <si>
    <t xml:space="preserve">מוצע</t>
  </si>
  <si>
    <t xml:space="preserve">מוצע (הריסה, הורדה)</t>
  </si>
  <si>
    <t xml:space="preserve">הורדה (הריסה)</t>
  </si>
  <si>
    <t xml:space="preserve">אחוז משטח המגרש</t>
  </si>
  <si>
    <t xml:space="preserve">מרתף 11.85-</t>
  </si>
  <si>
    <t xml:space="preserve">מרתף 8.90-</t>
  </si>
  <si>
    <t xml:space="preserve">מרתף 5.925-</t>
  </si>
  <si>
    <t xml:space="preserve">**פרטי בקשה: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</si>
</sst>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;\-#,##0.0;0"/>
    <numFmt numFmtId="166" formatCode="#,##0.00;\-#,##0.00;0"/>
    <numFmt numFmtId="167" formatCode="0.0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B7D7D0"/>
      </patternFill>
    </fill>
    <fill>
      <patternFill patternType="solid">
        <fgColor rgb="FFB7D7D0"/>
        <bgColor rgb="FFA9C3E4"/>
      </patternFill>
    </fill>
    <fill>
      <patternFill patternType="solid">
        <fgColor rgb="FFF8CBE4"/>
        <bgColor rgb="FFFBB7F0"/>
      </patternFill>
    </fill>
    <fill>
      <patternFill patternType="solid">
        <fgColor rgb="FFFBB7F0"/>
        <bgColor rgb="FFF8CBE4"/>
      </patternFill>
    </fill>
    <fill>
      <patternFill patternType="solid">
        <fgColor rgb="FFFFFFFF"/>
        <bgColor rgb="FFFFFFCC"/>
      </patternFill>
    </fill>
    <fill>
      <patternFill patternType="solid">
        <fgColor rgb="FFA9C3E4"/>
        <bgColor rgb="FFB7D7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D7D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C3E4"/>
      <rgbColor rgb="FFFBB7F0"/>
      <rgbColor rgb="FFCC99FF"/>
      <rgbColor rgb="FFF8CB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9" min="2" style="0" width="11"/>
    <col collapsed="false" customWidth="true" hidden="false" outlineLevel="0" max="20" min="20" style="0" width="13"/>
  </cols>
  <sheetData>
    <row r="1" customFormat="false" ht="21.75" hidden="false" customHeight="true" outlineLevel="0" collapsed="false">
      <c r="A1" s="1" t="s">
        <v>0</v>
      </c>
      <c r="B1" s="2" t="s">
        <v>1</v>
      </c>
      <c r="C1" s="2"/>
      <c r="D1" s="2"/>
      <c r="E1" s="3" t="s">
        <v>2</v>
      </c>
      <c r="F1" s="3"/>
      <c r="G1" s="3"/>
      <c r="H1" s="4" t="s">
        <v>3</v>
      </c>
      <c r="I1" s="4"/>
      <c r="J1" s="4"/>
      <c r="K1" s="5" t="s">
        <v>4</v>
      </c>
      <c r="L1" s="5"/>
      <c r="M1" s="5"/>
      <c r="N1" s="6" t="s">
        <v>5</v>
      </c>
      <c r="O1" s="6"/>
      <c r="P1" s="6"/>
      <c r="Q1" s="5" t="s">
        <v>6</v>
      </c>
      <c r="R1" s="5"/>
      <c r="S1" s="5"/>
      <c r="T1" s="5"/>
    </row>
    <row r="2" customFormat="false" ht="15" hidden="false" customHeight="false" outlineLevel="0" collapsed="false">
      <c r="A2" s="1" t="n">
        <v>10907</v>
      </c>
      <c r="B2" s="2"/>
      <c r="C2" s="2"/>
      <c r="D2" s="2"/>
      <c r="E2" s="3"/>
      <c r="F2" s="3"/>
      <c r="G2" s="3"/>
      <c r="H2" s="4"/>
      <c r="I2" s="4"/>
      <c r="J2" s="4"/>
      <c r="K2" s="5"/>
      <c r="L2" s="5"/>
      <c r="M2" s="5"/>
      <c r="N2" s="6"/>
      <c r="O2" s="6"/>
      <c r="P2" s="6"/>
      <c r="Q2" s="5"/>
      <c r="R2" s="5"/>
      <c r="S2" s="5"/>
      <c r="T2" s="5"/>
    </row>
    <row r="3" customFormat="false" ht="33.75" hidden="false" customHeight="true" outlineLevel="0" collapsed="false">
      <c r="A3" s="1" t="s">
        <v>7</v>
      </c>
      <c r="B3" s="2" t="s">
        <v>8</v>
      </c>
      <c r="C3" s="2" t="s">
        <v>9</v>
      </c>
      <c r="D3" s="2" t="s">
        <v>6</v>
      </c>
      <c r="E3" s="3" t="s">
        <v>8</v>
      </c>
      <c r="F3" s="3" t="s">
        <v>9</v>
      </c>
      <c r="G3" s="3" t="s">
        <v>6</v>
      </c>
      <c r="H3" s="4" t="s">
        <v>8</v>
      </c>
      <c r="I3" s="4" t="s">
        <v>9</v>
      </c>
      <c r="J3" s="4" t="s">
        <v>6</v>
      </c>
      <c r="K3" s="5" t="s">
        <v>8</v>
      </c>
      <c r="L3" s="5" t="s">
        <v>10</v>
      </c>
      <c r="M3" s="5" t="s">
        <v>6</v>
      </c>
      <c r="N3" s="6" t="s">
        <v>8</v>
      </c>
      <c r="O3" s="6" t="s">
        <v>9</v>
      </c>
      <c r="P3" s="6" t="s">
        <v>6</v>
      </c>
      <c r="Q3" s="5" t="s">
        <v>8</v>
      </c>
      <c r="R3" s="5" t="s">
        <v>11</v>
      </c>
      <c r="S3" s="5" t="s">
        <v>6</v>
      </c>
      <c r="T3" s="5" t="s">
        <v>12</v>
      </c>
    </row>
    <row r="4" customFormat="false" ht="15" hidden="false" customHeight="false" outlineLevel="0" collapsed="false">
      <c r="A4" s="1" t="s">
        <v>13</v>
      </c>
      <c r="B4" s="7" t="n">
        <v>580.2</v>
      </c>
      <c r="C4" s="7"/>
      <c r="D4" s="7" t="n">
        <f aca="false">B4-C4</f>
        <v>580.2</v>
      </c>
      <c r="E4" s="7"/>
      <c r="F4" s="7"/>
      <c r="G4" s="7"/>
      <c r="H4" s="7"/>
      <c r="I4" s="7"/>
      <c r="J4" s="7"/>
      <c r="K4" s="8" t="n">
        <v>10162.9</v>
      </c>
      <c r="L4" s="8" t="n">
        <v>2535.38</v>
      </c>
      <c r="M4" s="8" t="n">
        <f aca="false">K4-L4</f>
        <v>7627.52</v>
      </c>
      <c r="N4" s="7" t="n">
        <v>192.5</v>
      </c>
      <c r="O4" s="7"/>
      <c r="P4" s="7" t="n">
        <f aca="false">N4-O4</f>
        <v>192.5</v>
      </c>
      <c r="Q4" s="7" t="n">
        <f aca="false">B4+E4+H4+K4+N4</f>
        <v>10935.6</v>
      </c>
      <c r="R4" s="8" t="n">
        <f aca="false">C4+F4+I4+L4+O4</f>
        <v>2535.38</v>
      </c>
      <c r="S4" s="7" t="n">
        <f aca="false">Q4-R4</f>
        <v>8400.22</v>
      </c>
      <c r="T4" s="9" t="n">
        <f aca="false">S4/$A$2</f>
        <v>0.770167782158247</v>
      </c>
    </row>
    <row r="5" customFormat="false" ht="7.5" hidden="false" customHeight="true" outlineLevel="0" collapsed="false">
      <c r="A5" s="1"/>
      <c r="B5" s="7"/>
      <c r="C5" s="7"/>
      <c r="D5" s="7"/>
      <c r="E5" s="7"/>
      <c r="F5" s="7"/>
      <c r="G5" s="7"/>
      <c r="H5" s="7"/>
      <c r="I5" s="7"/>
      <c r="J5" s="7"/>
      <c r="K5" s="8"/>
      <c r="L5" s="8"/>
      <c r="M5" s="8"/>
      <c r="N5" s="7"/>
      <c r="O5" s="7"/>
      <c r="P5" s="7"/>
      <c r="Q5" s="7"/>
      <c r="R5" s="8"/>
      <c r="S5" s="7" t="n">
        <v>0</v>
      </c>
      <c r="T5" s="9"/>
    </row>
    <row r="6" customFormat="false" ht="15" hidden="false" customHeight="false" outlineLevel="0" collapsed="false">
      <c r="A6" s="1" t="s">
        <v>14</v>
      </c>
      <c r="B6" s="7" t="n">
        <v>219.3</v>
      </c>
      <c r="C6" s="7"/>
      <c r="D6" s="7" t="n">
        <f aca="false">B6-C6</f>
        <v>219.3</v>
      </c>
      <c r="E6" s="7"/>
      <c r="F6" s="7"/>
      <c r="G6" s="7"/>
      <c r="H6" s="7"/>
      <c r="I6" s="7"/>
      <c r="J6" s="7"/>
      <c r="K6" s="8" t="n">
        <v>10356.3</v>
      </c>
      <c r="L6" s="8" t="n">
        <v>2535.38</v>
      </c>
      <c r="M6" s="8" t="n">
        <f aca="false">K6-L6</f>
        <v>7820.92</v>
      </c>
      <c r="N6" s="7" t="n">
        <v>192.5</v>
      </c>
      <c r="O6" s="7"/>
      <c r="P6" s="7" t="n">
        <f aca="false">N6-O6</f>
        <v>192.5</v>
      </c>
      <c r="Q6" s="7" t="n">
        <f aca="false">B6+E6+H6+K6+N6</f>
        <v>10768.1</v>
      </c>
      <c r="R6" s="8" t="n">
        <f aca="false">C6+F6+I6+L6+O6</f>
        <v>2535.38</v>
      </c>
      <c r="S6" s="7" t="n">
        <f aca="false">Q6-R6</f>
        <v>8232.72</v>
      </c>
      <c r="T6" s="9" t="n">
        <f aca="false">S6/$A$2</f>
        <v>0.754810672045475</v>
      </c>
    </row>
    <row r="7" customFormat="false" ht="7.5" hidden="false" customHeight="true" outlineLevel="0" collapsed="false">
      <c r="A7" s="1"/>
      <c r="B7" s="7"/>
      <c r="C7" s="7"/>
      <c r="D7" s="7"/>
      <c r="E7" s="7"/>
      <c r="F7" s="7"/>
      <c r="G7" s="7"/>
      <c r="H7" s="7"/>
      <c r="I7" s="7"/>
      <c r="J7" s="7"/>
      <c r="K7" s="8"/>
      <c r="L7" s="8"/>
      <c r="M7" s="8"/>
      <c r="N7" s="7"/>
      <c r="O7" s="7"/>
      <c r="P7" s="7"/>
      <c r="Q7" s="7"/>
      <c r="R7" s="8"/>
      <c r="S7" s="7" t="n">
        <v>0</v>
      </c>
      <c r="T7" s="9"/>
    </row>
    <row r="8" customFormat="false" ht="15" hidden="false" customHeight="false" outlineLevel="0" collapsed="false">
      <c r="A8" s="1" t="s">
        <v>15</v>
      </c>
      <c r="B8" s="7" t="n">
        <v>870.6</v>
      </c>
      <c r="C8" s="7"/>
      <c r="D8" s="7" t="n">
        <f aca="false">B8-C8</f>
        <v>870.6</v>
      </c>
      <c r="E8" s="7" t="n">
        <v>0</v>
      </c>
      <c r="F8" s="7"/>
      <c r="G8" s="7" t="n">
        <f aca="false">E8-F8</f>
        <v>0</v>
      </c>
      <c r="H8" s="7" t="n">
        <v>2031.1</v>
      </c>
      <c r="I8" s="7"/>
      <c r="J8" s="7" t="n">
        <f aca="false">H8-I8</f>
        <v>2031.1</v>
      </c>
      <c r="K8" s="8" t="n">
        <v>7625.5</v>
      </c>
      <c r="L8" s="8" t="n">
        <v>2535.38</v>
      </c>
      <c r="M8" s="8" t="n">
        <f aca="false">K8-L8</f>
        <v>5090.12</v>
      </c>
      <c r="N8" s="7" t="n">
        <v>216.5</v>
      </c>
      <c r="O8" s="7"/>
      <c r="P8" s="7" t="n">
        <f aca="false">N8-O8</f>
        <v>216.5</v>
      </c>
      <c r="Q8" s="7" t="n">
        <f aca="false">B8+E8+H8+K8+N8</f>
        <v>10743.7</v>
      </c>
      <c r="R8" s="8" t="n">
        <f aca="false">C8+F8+I8+L8+O8</f>
        <v>2535.38</v>
      </c>
      <c r="S8" s="7" t="n">
        <f aca="false">Q8-R8</f>
        <v>8208.32</v>
      </c>
      <c r="T8" s="9" t="n">
        <f aca="false">S8/$A$2</f>
        <v>0.752573576602182</v>
      </c>
    </row>
    <row r="9" customFormat="false" ht="7.5" hidden="false" customHeight="true" outlineLevel="0" collapsed="false">
      <c r="A9" s="1"/>
      <c r="B9" s="7"/>
      <c r="C9" s="7"/>
      <c r="D9" s="7"/>
      <c r="E9" s="7"/>
      <c r="F9" s="7"/>
      <c r="G9" s="7"/>
      <c r="H9" s="7"/>
      <c r="I9" s="7"/>
      <c r="J9" s="7"/>
      <c r="K9" s="8"/>
      <c r="L9" s="8"/>
      <c r="M9" s="8"/>
      <c r="N9" s="7"/>
      <c r="O9" s="7"/>
      <c r="P9" s="7"/>
      <c r="Q9" s="7"/>
      <c r="R9" s="8"/>
      <c r="S9" s="7" t="n">
        <v>0</v>
      </c>
      <c r="T9" s="9"/>
    </row>
    <row r="10" customFormat="false" ht="15" hidden="false" customHeight="false" outlineLevel="0" collapsed="false">
      <c r="A10" s="1" t="s">
        <v>6</v>
      </c>
      <c r="B10" s="10" t="n">
        <f aca="false">SUM(B4:B9)</f>
        <v>1670.1</v>
      </c>
      <c r="C10" s="10" t="n">
        <f aca="false">SUM(C4:C9)</f>
        <v>0</v>
      </c>
      <c r="D10" s="10" t="n">
        <f aca="false">SUM(D4:D9)</f>
        <v>1670.1</v>
      </c>
      <c r="E10" s="10" t="n">
        <f aca="false">SUM(E4:E9)</f>
        <v>0</v>
      </c>
      <c r="F10" s="10" t="n">
        <f aca="false">SUM(F4:F9)</f>
        <v>0</v>
      </c>
      <c r="G10" s="10" t="n">
        <f aca="false">SUM(G4:G9)</f>
        <v>0</v>
      </c>
      <c r="H10" s="10" t="n">
        <f aca="false">SUM(H4:H9)</f>
        <v>2031.1</v>
      </c>
      <c r="I10" s="10" t="n">
        <f aca="false">SUM(I4:I9)</f>
        <v>0</v>
      </c>
      <c r="J10" s="10" t="n">
        <f aca="false">SUM(J4:J9)</f>
        <v>2031.1</v>
      </c>
      <c r="K10" s="11" t="n">
        <f aca="false">SUM(K4:K9)</f>
        <v>28144.7</v>
      </c>
      <c r="L10" s="11" t="n">
        <f aca="false">SUM(L4:L9)</f>
        <v>7606.14</v>
      </c>
      <c r="M10" s="11" t="n">
        <f aca="false">SUM(M4:M9)</f>
        <v>20538.56</v>
      </c>
      <c r="N10" s="10" t="n">
        <f aca="false">SUM(N4:N9)</f>
        <v>601.5</v>
      </c>
      <c r="O10" s="10" t="n">
        <f aca="false">SUM(O4:O9)</f>
        <v>0</v>
      </c>
      <c r="P10" s="10" t="n">
        <f aca="false">SUM(P4:P9)</f>
        <v>601.5</v>
      </c>
      <c r="Q10" s="10" t="n">
        <f aca="false">SUM(Q4:Q9)</f>
        <v>32447.4</v>
      </c>
      <c r="R10" s="11" t="n">
        <f aca="false">SUM(R4:R9)</f>
        <v>7606.14</v>
      </c>
      <c r="S10" s="10" t="n">
        <f aca="false">SUM(S4:S9)</f>
        <v>24841.26</v>
      </c>
      <c r="T10" s="12" t="n">
        <f aca="false">S10/$A$2</f>
        <v>2.2775520308059</v>
      </c>
    </row>
    <row r="12" customFormat="false" ht="15" hidden="false" customHeight="true" outlineLevel="0" collapsed="false">
      <c r="Q12" s="13" t="s">
        <v>16</v>
      </c>
      <c r="R12" s="13"/>
      <c r="S12" s="13" t="n">
        <v>20220787</v>
      </c>
      <c r="T12" s="13"/>
    </row>
  </sheetData>
  <mergeCells count="8">
    <mergeCell ref="B1:D2"/>
    <mergeCell ref="E1:G2"/>
    <mergeCell ref="H1:J2"/>
    <mergeCell ref="K1:M2"/>
    <mergeCell ref="N1:P2"/>
    <mergeCell ref="Q1:T2"/>
    <mergeCell ref="Q12:R12"/>
    <mergeCell ref="S12:T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2026-08-27T05:06:14Z</dcterms:created>
  <dc:creator>openpyxl</dc:creator>
  <dc:description/>
  <dc:language>en-US</dc:language>
  <cp:lastModifiedBy/>
  <dcterms:modified xsi:type="dcterms:W3CDTF">2026-08-27T05:06:14Z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